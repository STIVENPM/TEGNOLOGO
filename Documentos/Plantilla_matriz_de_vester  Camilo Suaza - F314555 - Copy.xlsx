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ly\Downloads\"/>
    </mc:Choice>
  </mc:AlternateContent>
  <xr:revisionPtr revIDLastSave="0" documentId="13_ncr:1_{CA35234C-447F-4BA6-BEE3-675DB3D2C198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Matriz y gráfico" sheetId="1" r:id="rId1"/>
    <sheet name="Parámetros" sheetId="2" r:id="rId2"/>
  </sheets>
  <definedNames>
    <definedName name="Dependencia">'Matriz y gráfico'!$C$25:$Q$25</definedName>
    <definedName name="Influencia">'Matriz y gráfico'!$R$10:$R$24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1" l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C25" i="1"/>
  <c r="R15" i="1"/>
  <c r="R16" i="1"/>
  <c r="R17" i="1"/>
  <c r="R18" i="1"/>
  <c r="R19" i="1"/>
  <c r="R20" i="1"/>
  <c r="R21" i="1"/>
  <c r="R22" i="1"/>
  <c r="R23" i="1"/>
  <c r="R24" i="1"/>
  <c r="R13" i="1"/>
  <c r="R12" i="1"/>
  <c r="R11" i="1"/>
  <c r="R10" i="1"/>
  <c r="R14" i="1"/>
  <c r="C3" i="2" l="1"/>
  <c r="D5" i="2"/>
  <c r="C5" i="2"/>
  <c r="C4" i="2"/>
  <c r="D2" i="2"/>
  <c r="D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Betancourt Quintero</author>
  </authors>
  <commentList>
    <comment ref="R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Activos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Pasivos</t>
        </r>
      </text>
    </comment>
  </commentList>
</comments>
</file>

<file path=xl/sharedStrings.xml><?xml version="1.0" encoding="utf-8"?>
<sst xmlns="http://schemas.openxmlformats.org/spreadsheetml/2006/main" count="50" uniqueCount="40">
  <si>
    <t>Plantilla Matriz de Vester</t>
  </si>
  <si>
    <t>Matrix Vester template</t>
  </si>
  <si>
    <t>Situación problemática</t>
  </si>
  <si>
    <t>Código</t>
  </si>
  <si>
    <t>Variable</t>
  </si>
  <si>
    <t>P1</t>
  </si>
  <si>
    <t>P2</t>
  </si>
  <si>
    <t>P3</t>
  </si>
  <si>
    <t>P4</t>
  </si>
  <si>
    <t>P5</t>
  </si>
  <si>
    <t>P6</t>
  </si>
  <si>
    <t>P7</t>
  </si>
  <si>
    <t>Clasificación</t>
  </si>
  <si>
    <t>X</t>
  </si>
  <si>
    <t>Y</t>
  </si>
  <si>
    <t>Linea horizontal</t>
  </si>
  <si>
    <t>Linea vertical</t>
  </si>
  <si>
    <t>P8</t>
  </si>
  <si>
    <t>P9</t>
  </si>
  <si>
    <t>P10</t>
  </si>
  <si>
    <t>P11</t>
  </si>
  <si>
    <t>P12</t>
  </si>
  <si>
    <t>P13</t>
  </si>
  <si>
    <t>Instrucciones</t>
  </si>
  <si>
    <t xml:space="preserve">Las celdas de color blanco son las que se pueden diligenciar. Las de color gris son de cálculo automático. </t>
  </si>
  <si>
    <t>INFLUENCIA / ACTIVAS</t>
  </si>
  <si>
    <t>DEPENDENCIA / PASIVAS</t>
  </si>
  <si>
    <t>P14</t>
  </si>
  <si>
    <t>P15</t>
  </si>
  <si>
    <t>Haz clic en la imagen para ver el Videotutorial para entender cómo usarla</t>
  </si>
  <si>
    <t>1= Causalidad débil (Influencia indirecta de un problema sobre otro)</t>
  </si>
  <si>
    <t>2=  Causalidad media (baja influencia directa de un problema sobre otro)</t>
  </si>
  <si>
    <t>3=  Causalidad alta (Alta influencia directa de un problema sobre otro)</t>
  </si>
  <si>
    <t>0= No causal (los problemas no tienen vínculo)</t>
  </si>
  <si>
    <t>Fabricación de productos electrónicos</t>
  </si>
  <si>
    <t>Fallo en el servidor principal</t>
  </si>
  <si>
    <t>Actualización fallida del sistema</t>
  </si>
  <si>
    <t>Sobrecarga de solicitudes en el sistema</t>
  </si>
  <si>
    <t>Problemas en la comunicación entre microservicios</t>
  </si>
  <si>
    <t>Configuración incorrecta del entorno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</si>
</sst>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theme="1"/>
      <name val="Gisha"/>
      <family val="2"/>
    </font>
    <font>
      <b/>
      <sz val="11"/>
      <color theme="1"/>
      <name val="Century Gothic"/>
      <family val="2"/>
    </font>
    <font>
      <sz val="10"/>
      <color theme="1"/>
      <name val="Arial"/>
      <family val="2"/>
    </font>
    <font>
      <b/>
      <sz val="10"/>
      <color theme="0"/>
      <name val="Gisha"/>
      <family val="2"/>
    </font>
    <font>
      <b/>
      <sz val="16"/>
      <color theme="0"/>
      <name val="Arial"/>
      <family val="2"/>
    </font>
    <font>
      <b/>
      <sz val="12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rgb="FFD8D8D8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0" fillId="0" borderId="0" xfId="1"/>
    <xf numFmtId="0" fontId="9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3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top"/>
    </xf>
    <xf numFmtId="0" fontId="3" fillId="5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0" fillId="0" borderId="0" xfId="1" applyAlignment="1">
      <alignment horizontal="left"/>
    </xf>
    <xf numFmtId="0" fontId="0" fillId="0" borderId="0" xfId="0" applyAlignment="1">
      <alignment horizontal="left" wrapText="1"/>
    </xf>
    <xf numFmtId="0" fontId="5" fillId="3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'Matriz y gráfico'!$A$10</c:f>
              <c:strCache>
                <c:ptCount val="1"/>
                <c:pt idx="0">
                  <c:v>P1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gráfico'!$R$10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'Matriz y gráfico'!$C$25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E9-4A49-8146-654BBD047A7F}"/>
            </c:ext>
          </c:extLst>
        </c:ser>
        <c:ser>
          <c:idx val="1"/>
          <c:order val="1"/>
          <c:tx>
            <c:strRef>
              <c:f>'Matriz y gráfico'!$A$11</c:f>
              <c:strCache>
                <c:ptCount val="1"/>
                <c:pt idx="0">
                  <c:v>P2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59E-4BE1-937A-21263C929A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gráfico'!$R$11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'Matriz y gráfico'!$D$25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E9-4A49-8146-654BBD047A7F}"/>
            </c:ext>
          </c:extLst>
        </c:ser>
        <c:ser>
          <c:idx val="2"/>
          <c:order val="2"/>
          <c:tx>
            <c:strRef>
              <c:f>'Matriz y gráfico'!$A$12</c:f>
              <c:strCache>
                <c:ptCount val="1"/>
                <c:pt idx="0">
                  <c:v>P3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gráfico'!$R$12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'Matriz y gráfico'!$E$25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E9-4A49-8146-654BBD047A7F}"/>
            </c:ext>
          </c:extLst>
        </c:ser>
        <c:ser>
          <c:idx val="3"/>
          <c:order val="3"/>
          <c:tx>
            <c:strRef>
              <c:f>'Matriz y gráfico'!$A$13</c:f>
              <c:strCache>
                <c:ptCount val="1"/>
                <c:pt idx="0">
                  <c:v>P4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gráfico'!$R$13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'Matriz y gráfico'!$F$25</c:f>
              <c:numCache>
                <c:formatCode>General</c:formatCode>
                <c:ptCount val="1"/>
                <c:pt idx="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E9-4A49-8146-654BBD047A7F}"/>
            </c:ext>
          </c:extLst>
        </c:ser>
        <c:ser>
          <c:idx val="4"/>
          <c:order val="4"/>
          <c:tx>
            <c:strRef>
              <c:f>'Matriz y gráfico'!$A$14</c:f>
              <c:strCache>
                <c:ptCount val="1"/>
                <c:pt idx="0">
                  <c:v>P5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9E-4BE1-937A-21263C929A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gráfico'!$R$14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'Matriz y gráfico'!$G$25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E9-4A49-8146-654BBD047A7F}"/>
            </c:ext>
          </c:extLst>
        </c:ser>
        <c:ser>
          <c:idx val="5"/>
          <c:order val="5"/>
          <c:tx>
            <c:strRef>
              <c:f>'Matriz y gráfico'!$A$15</c:f>
              <c:strCache>
                <c:ptCount val="1"/>
                <c:pt idx="0">
                  <c:v>P6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gráfico'!$R$15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gráfico'!$H$25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E9-4A49-8146-654BBD047A7F}"/>
            </c:ext>
          </c:extLst>
        </c:ser>
        <c:ser>
          <c:idx val="6"/>
          <c:order val="6"/>
          <c:tx>
            <c:strRef>
              <c:f>'Matriz y gráfico'!$A$16</c:f>
              <c:strCache>
                <c:ptCount val="1"/>
                <c:pt idx="0">
                  <c:v>P7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gráfico'!$R$16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gráfico'!$I$25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2E9-4A49-8146-654BBD047A7F}"/>
            </c:ext>
          </c:extLst>
        </c:ser>
        <c:ser>
          <c:idx val="9"/>
          <c:order val="7"/>
          <c:tx>
            <c:strRef>
              <c:f>'Matriz y gráfico'!$A$17</c:f>
              <c:strCache>
                <c:ptCount val="1"/>
                <c:pt idx="0">
                  <c:v>P8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gráfico'!$J$25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9E-4BE1-937A-21263C929AE9}"/>
            </c:ext>
          </c:extLst>
        </c:ser>
        <c:ser>
          <c:idx val="10"/>
          <c:order val="8"/>
          <c:tx>
            <c:strRef>
              <c:f>'Matriz y gráfico'!$A$18</c:f>
              <c:strCache>
                <c:ptCount val="1"/>
                <c:pt idx="0">
                  <c:v>P9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gráfico'!$R$18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gráfico'!$K$25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9E-4BE1-937A-21263C929AE9}"/>
            </c:ext>
          </c:extLst>
        </c:ser>
        <c:ser>
          <c:idx val="11"/>
          <c:order val="9"/>
          <c:tx>
            <c:strRef>
              <c:f>'Matriz y gráfico'!$A$19</c:f>
              <c:strCache>
                <c:ptCount val="1"/>
                <c:pt idx="0">
                  <c:v>P10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gráfico'!$R$19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gráfico'!$L$25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9E-4BE1-937A-21263C929AE9}"/>
            </c:ext>
          </c:extLst>
        </c:ser>
        <c:ser>
          <c:idx val="12"/>
          <c:order val="10"/>
          <c:tx>
            <c:strRef>
              <c:f>'Matriz y gráfico'!$A$20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gráfico'!$R$20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gráfico'!$M$25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9E-4BE1-937A-21263C929AE9}"/>
            </c:ext>
          </c:extLst>
        </c:ser>
        <c:ser>
          <c:idx val="13"/>
          <c:order val="11"/>
          <c:tx>
            <c:strRef>
              <c:f>'Matriz y gráfico'!$A$21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gráfico'!$R$21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gráfico'!$N$25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9E-4BE1-937A-21263C929AE9}"/>
            </c:ext>
          </c:extLst>
        </c:ser>
        <c:ser>
          <c:idx val="14"/>
          <c:order val="12"/>
          <c:tx>
            <c:strRef>
              <c:f>'Matriz y gráfico'!$A$22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6183720360603872E-2"/>
                  <c:y val="2.349015089878727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79-49F1-84B6-0AEE7F7167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gráfico'!$R$22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gráfico'!$O$25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59E-4BE1-937A-21263C929AE9}"/>
            </c:ext>
          </c:extLst>
        </c:ser>
        <c:ser>
          <c:idx val="15"/>
          <c:order val="13"/>
          <c:tx>
            <c:strRef>
              <c:f>'Matriz y gráfico'!$A$23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gráfico'!$R$23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gráfico'!$P$25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9-49F1-84B6-0AEE7F716750}"/>
            </c:ext>
          </c:extLst>
        </c:ser>
        <c:ser>
          <c:idx val="16"/>
          <c:order val="14"/>
          <c:tx>
            <c:strRef>
              <c:f>'Matriz y gráfico'!$A$24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6183720360603872E-2"/>
                  <c:y val="-2.34901508987873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79-49F1-84B6-0AEE7F7167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gráfico'!$R$24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'Matriz y gráfico'!$Q$25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9-49F1-84B6-0AEE7F716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419840"/>
        <c:axId val="1729425824"/>
      </c:scatterChart>
      <c:scatterChart>
        <c:scatterStyle val="smoothMarker"/>
        <c:varyColors val="0"/>
        <c:ser>
          <c:idx val="7"/>
          <c:order val="15"/>
          <c:tx>
            <c:strRef>
              <c:f>Parámetros!$A$2</c:f>
              <c:strCache>
                <c:ptCount val="1"/>
                <c:pt idx="0">
                  <c:v>Linea horizontal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Parámetros!$C$2:$C$3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xVal>
          <c:yVal>
            <c:numRef>
              <c:f>Parámetros!$D$2:$D$3</c:f>
              <c:numCache>
                <c:formatCode>General</c:formatCode>
                <c:ptCount val="2"/>
                <c:pt idx="0">
                  <c:v>5.5</c:v>
                </c:pt>
                <c:pt idx="1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2E9-4A49-8146-654BBD047A7F}"/>
            </c:ext>
          </c:extLst>
        </c:ser>
        <c:ser>
          <c:idx val="8"/>
          <c:order val="16"/>
          <c:tx>
            <c:strRef>
              <c:f>Parámetros!$A$4</c:f>
              <c:strCache>
                <c:ptCount val="1"/>
                <c:pt idx="0">
                  <c:v>Linea vertical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Parámetros!$C$4:$C$5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Parámetros!$D$4:$D$5</c:f>
              <c:numCache>
                <c:formatCode>General</c:formatCode>
                <c:ptCount val="2"/>
                <c:pt idx="0">
                  <c:v>0</c:v>
                </c:pt>
                <c:pt idx="1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2E9-4A49-8146-654BBD047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419840"/>
        <c:axId val="1729425824"/>
      </c:scatterChart>
      <c:valAx>
        <c:axId val="172941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Influencia/Causalidad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9425824"/>
        <c:crosses val="autoZero"/>
        <c:crossBetween val="midCat"/>
        <c:majorUnit val="1"/>
        <c:minorUnit val="1"/>
      </c:valAx>
      <c:valAx>
        <c:axId val="172942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Dependencia/Consecuencia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9419840"/>
        <c:crosses val="autoZero"/>
        <c:crossBetween val="midCat"/>
        <c:majorUnit val="1"/>
        <c:min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www.youtube.com/watch?v=ZA2DBIF3GQQ" TargetMode="Externa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8657</xdr:rowOff>
    </xdr:from>
    <xdr:to>
      <xdr:col>17</xdr:col>
      <xdr:colOff>822614</xdr:colOff>
      <xdr:row>53</xdr:row>
      <xdr:rowOff>59329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840441</xdr:colOff>
      <xdr:row>0</xdr:row>
      <xdr:rowOff>0</xdr:rowOff>
    </xdr:from>
    <xdr:to>
      <xdr:col>17</xdr:col>
      <xdr:colOff>768874</xdr:colOff>
      <xdr:row>0</xdr:row>
      <xdr:rowOff>1628775</xdr:rowOff>
    </xdr:to>
    <xdr:pic>
      <xdr:nvPicPr>
        <xdr:cNvPr id="2" name="Imagen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32732"/>
        <a:stretch/>
      </xdr:blipFill>
      <xdr:spPr>
        <a:xfrm>
          <a:off x="1445559" y="0"/>
          <a:ext cx="9697257" cy="1628775"/>
        </a:xfrm>
        <a:prstGeom prst="rect">
          <a:avLst/>
        </a:prstGeom>
      </xdr:spPr>
    </xdr:pic>
    <xdr:clientData/>
  </xdr:twoCellAnchor>
  <xdr:twoCellAnchor editAs="oneCell">
    <xdr:from>
      <xdr:col>17</xdr:col>
      <xdr:colOff>1470615</xdr:colOff>
      <xdr:row>7</xdr:row>
      <xdr:rowOff>29637</xdr:rowOff>
    </xdr:from>
    <xdr:to>
      <xdr:col>32</xdr:col>
      <xdr:colOff>388417</xdr:colOff>
      <xdr:row>17</xdr:row>
      <xdr:rowOff>100656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B67370-1E12-8CD4-E626-0841FF6401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695" t="12328"/>
        <a:stretch/>
      </xdr:blipFill>
      <xdr:spPr>
        <a:xfrm>
          <a:off x="11826888" y="3424001"/>
          <a:ext cx="9343347" cy="3292200"/>
        </a:xfrm>
        <a:prstGeom prst="rect">
          <a:avLst/>
        </a:prstGeom>
      </xdr:spPr>
    </xdr:pic>
    <xdr:clientData/>
  </xdr:twoCellAnchor>
  <xdr:twoCellAnchor>
    <xdr:from>
      <xdr:col>11</xdr:col>
      <xdr:colOff>331304</xdr:colOff>
      <xdr:row>27</xdr:row>
      <xdr:rowOff>165652</xdr:rowOff>
    </xdr:from>
    <xdr:to>
      <xdr:col>14</xdr:col>
      <xdr:colOff>323022</xdr:colOff>
      <xdr:row>30</xdr:row>
      <xdr:rowOff>82826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7BDB50C-E7AD-5F2E-07AF-7AF88FB5D8D7}"/>
            </a:ext>
          </a:extLst>
        </xdr:cNvPr>
        <xdr:cNvSpPr txBox="1"/>
      </xdr:nvSpPr>
      <xdr:spPr>
        <a:xfrm>
          <a:off x="8489674" y="9980543"/>
          <a:ext cx="1060174" cy="48867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(Problema</a:t>
          </a:r>
          <a:r>
            <a:rPr lang="es-CO" sz="1100" baseline="0"/>
            <a:t> central)</a:t>
          </a:r>
          <a:endParaRPr lang="es-CO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0.68546</cdr:x>
      <cdr:y>0.7307</cdr:y>
    </cdr:from>
    <cdr:to>
      <cdr:x>0.7848</cdr:x>
      <cdr:y>0.80412</cdr:y>
    </cdr:to>
    <cdr:sp macro="" textlink="">
      <cdr:nvSpPr>
        <cdr:cNvPr id="2" name="TextBox 7">
          <a:extLst xmlns:a="http://schemas.openxmlformats.org/drawingml/2006/main">
            <a:ext uri="{FF2B5EF4-FFF2-40B4-BE49-F238E27FC236}">
              <a16:creationId xmlns:a16="http://schemas.microsoft.com/office/drawing/2014/main" id="{5AA1494B-D101-41EC-9C40-ABDECEA8884C}"/>
            </a:ext>
          </a:extLst>
        </cdr:cNvPr>
        <cdr:cNvSpPr txBox="1"/>
      </cdr:nvSpPr>
      <cdr:spPr>
        <a:xfrm xmlns:a="http://schemas.openxmlformats.org/drawingml/2006/main">
          <a:off x="4664092" y="2068362"/>
          <a:ext cx="675941" cy="20782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100" b="1"/>
            <a:t> C3 ACTIVOS</a:t>
          </a:r>
        </a:p>
      </cdr:txBody>
    </cdr:sp>
  </cdr:relSizeAnchor>
  <cdr:relSizeAnchor xmlns:cdr="http://schemas.openxmlformats.org/drawingml/2006/chartDrawing">
    <cdr:from>
      <cdr:x>0.08773</cdr:x>
      <cdr:y>0.73743</cdr:y>
    </cdr:from>
    <cdr:to>
      <cdr:x>0.21698</cdr:x>
      <cdr:y>0.81126</cdr:y>
    </cdr:to>
    <cdr:sp macro="" textlink="">
      <cdr:nvSpPr>
        <cdr:cNvPr id="3" name="TextBox 7">
          <a:extLst xmlns:a="http://schemas.openxmlformats.org/drawingml/2006/main">
            <a:ext uri="{FF2B5EF4-FFF2-40B4-BE49-F238E27FC236}">
              <a16:creationId xmlns:a16="http://schemas.microsoft.com/office/drawing/2014/main" id="{5AA1494B-D101-41EC-9C40-ABDECEA8884C}"/>
            </a:ext>
          </a:extLst>
        </cdr:cNvPr>
        <cdr:cNvSpPr txBox="1"/>
      </cdr:nvSpPr>
      <cdr:spPr>
        <a:xfrm xmlns:a="http://schemas.openxmlformats.org/drawingml/2006/main">
          <a:off x="596917" y="2087412"/>
          <a:ext cx="879458" cy="20898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100" b="1"/>
            <a:t> C4 INDIFERENTES</a:t>
          </a:r>
        </a:p>
      </cdr:txBody>
    </cdr:sp>
  </cdr:relSizeAnchor>
  <cdr:relSizeAnchor xmlns:cdr="http://schemas.openxmlformats.org/drawingml/2006/chartDrawing">
    <cdr:from>
      <cdr:x>0.08026</cdr:x>
      <cdr:y>0.0516</cdr:y>
    </cdr:from>
    <cdr:to>
      <cdr:x>0.1796</cdr:x>
      <cdr:y>0.12502</cdr:y>
    </cdr:to>
    <cdr:sp macro="" textlink="">
      <cdr:nvSpPr>
        <cdr:cNvPr id="4" name="TextBox 7">
          <a:extLst xmlns:a="http://schemas.openxmlformats.org/drawingml/2006/main">
            <a:ext uri="{FF2B5EF4-FFF2-40B4-BE49-F238E27FC236}">
              <a16:creationId xmlns:a16="http://schemas.microsoft.com/office/drawing/2014/main" id="{5AA1494B-D101-41EC-9C40-ABDECEA8884C}"/>
            </a:ext>
          </a:extLst>
        </cdr:cNvPr>
        <cdr:cNvSpPr txBox="1"/>
      </cdr:nvSpPr>
      <cdr:spPr>
        <a:xfrm xmlns:a="http://schemas.openxmlformats.org/drawingml/2006/main">
          <a:off x="546100" y="146050"/>
          <a:ext cx="675941" cy="20782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100" b="1"/>
            <a:t>C1</a:t>
          </a:r>
          <a:r>
            <a:rPr lang="es-CO" sz="1100" b="1" baseline="0"/>
            <a:t> </a:t>
          </a:r>
          <a:r>
            <a:rPr lang="es-CO" sz="1100" b="1"/>
            <a:t>PASIVOS</a:t>
          </a:r>
        </a:p>
      </cdr:txBody>
    </cdr:sp>
  </cdr:relSizeAnchor>
  <cdr:relSizeAnchor xmlns:cdr="http://schemas.openxmlformats.org/drawingml/2006/chartDrawing">
    <cdr:from>
      <cdr:x>0.68219</cdr:x>
      <cdr:y>0.05496</cdr:y>
    </cdr:from>
    <cdr:to>
      <cdr:x>0.78153</cdr:x>
      <cdr:y>0.12838</cdr:y>
    </cdr:to>
    <cdr:sp macro="" textlink="">
      <cdr:nvSpPr>
        <cdr:cNvPr id="5" name="TextBox 7">
          <a:extLst xmlns:a="http://schemas.openxmlformats.org/drawingml/2006/main">
            <a:ext uri="{FF2B5EF4-FFF2-40B4-BE49-F238E27FC236}">
              <a16:creationId xmlns:a16="http://schemas.microsoft.com/office/drawing/2014/main" id="{5AA1494B-D101-41EC-9C40-ABDECEA8884C}"/>
            </a:ext>
          </a:extLst>
        </cdr:cNvPr>
        <cdr:cNvSpPr txBox="1"/>
      </cdr:nvSpPr>
      <cdr:spPr>
        <a:xfrm xmlns:a="http://schemas.openxmlformats.org/drawingml/2006/main">
          <a:off x="4641850" y="155575"/>
          <a:ext cx="675941" cy="20782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100" b="1"/>
            <a:t>C2 CRÍTICOS</a:t>
          </a:r>
        </a:p>
      </cdr:txBody>
    </cdr:sp>
  </cdr:relSizeAnchor>
  <cdr:relSizeAnchor xmlns:cdr="http://schemas.openxmlformats.org/drawingml/2006/chartDrawing">
    <cdr:from>
      <cdr:x>0.17144</cdr:x>
      <cdr:y>0.01512</cdr:y>
    </cdr:from>
    <cdr:to>
      <cdr:x>0.2668</cdr:x>
      <cdr:y>0.11278</cdr:y>
    </cdr:to>
    <cdr:sp macro="" textlink="">
      <cdr:nvSpPr>
        <cdr:cNvPr id="6" name="CuadroTexto 3">
          <a:extLst xmlns:a="http://schemas.openxmlformats.org/drawingml/2006/main">
            <a:ext uri="{FF2B5EF4-FFF2-40B4-BE49-F238E27FC236}">
              <a16:creationId xmlns:a16="http://schemas.microsoft.com/office/drawing/2014/main" id="{87BDB50C-E7AD-5F2E-07AF-7AF88FB5D8D7}"/>
            </a:ext>
          </a:extLst>
        </cdr:cNvPr>
        <cdr:cNvSpPr txBox="1"/>
      </cdr:nvSpPr>
      <cdr:spPr>
        <a:xfrm xmlns:a="http://schemas.openxmlformats.org/drawingml/2006/main">
          <a:off x="1906104" y="75648"/>
          <a:ext cx="1060174" cy="48867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/>
            <a:t>(Problemas</a:t>
          </a:r>
          <a:r>
            <a:rPr lang="es-CO" sz="1100" baseline="0"/>
            <a:t> efecto)</a:t>
          </a:r>
          <a:endParaRPr lang="es-CO" sz="1100"/>
        </a:p>
      </cdr:txBody>
    </cdr:sp>
  </cdr:relSizeAnchor>
  <cdr:relSizeAnchor xmlns:cdr="http://schemas.openxmlformats.org/drawingml/2006/chartDrawing">
    <cdr:from>
      <cdr:x>0.00457</cdr:x>
      <cdr:y>0.67724</cdr:y>
    </cdr:from>
    <cdr:to>
      <cdr:x>0.09993</cdr:x>
      <cdr:y>0.7749</cdr:y>
    </cdr:to>
    <cdr:sp macro="" textlink="">
      <cdr:nvSpPr>
        <cdr:cNvPr id="7" name="CuadroTexto 3">
          <a:extLst xmlns:a="http://schemas.openxmlformats.org/drawingml/2006/main">
            <a:ext uri="{FF2B5EF4-FFF2-40B4-BE49-F238E27FC236}">
              <a16:creationId xmlns:a16="http://schemas.microsoft.com/office/drawing/2014/main" id="{87BDB50C-E7AD-5F2E-07AF-7AF88FB5D8D7}"/>
            </a:ext>
          </a:extLst>
        </cdr:cNvPr>
        <cdr:cNvSpPr txBox="1"/>
      </cdr:nvSpPr>
      <cdr:spPr>
        <a:xfrm xmlns:a="http://schemas.openxmlformats.org/drawingml/2006/main">
          <a:off x="50800" y="3388691"/>
          <a:ext cx="1060174" cy="48867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/>
            <a:t>(Problema</a:t>
          </a:r>
          <a:r>
            <a:rPr lang="es-CO" sz="1100" baseline="0"/>
            <a:t> no relacionados)</a:t>
          </a:r>
          <a:endParaRPr lang="es-CO" sz="1100"/>
        </a:p>
      </cdr:txBody>
    </cdr:sp>
  </cdr:relSizeAnchor>
  <cdr:relSizeAnchor xmlns:cdr="http://schemas.openxmlformats.org/drawingml/2006/chartDrawing">
    <cdr:from>
      <cdr:x>0.7797</cdr:x>
      <cdr:y>0.7956</cdr:y>
    </cdr:from>
    <cdr:to>
      <cdr:x>0.87506</cdr:x>
      <cdr:y>0.89326</cdr:y>
    </cdr:to>
    <cdr:sp macro="" textlink="">
      <cdr:nvSpPr>
        <cdr:cNvPr id="8" name="CuadroTexto 3">
          <a:extLst xmlns:a="http://schemas.openxmlformats.org/drawingml/2006/main">
            <a:ext uri="{FF2B5EF4-FFF2-40B4-BE49-F238E27FC236}">
              <a16:creationId xmlns:a16="http://schemas.microsoft.com/office/drawing/2014/main" id="{66DD8B6B-B074-0176-4ABB-CC5D35B4F3CE}"/>
            </a:ext>
          </a:extLst>
        </cdr:cNvPr>
        <cdr:cNvSpPr txBox="1"/>
      </cdr:nvSpPr>
      <cdr:spPr>
        <a:xfrm xmlns:a="http://schemas.openxmlformats.org/drawingml/2006/main">
          <a:off x="8776406" y="3980912"/>
          <a:ext cx="1073386" cy="488658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/>
            <a:t>(Problema</a:t>
          </a:r>
          <a:r>
            <a:rPr lang="es-CO" sz="1100" baseline="0"/>
            <a:t>s consecuencia)</a:t>
          </a:r>
          <a:endParaRPr lang="es-CO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19051</xdr:colOff>
      <xdr:row>0</xdr:row>
      <xdr:rowOff>0</xdr:rowOff>
    </xdr:from>
    <xdr:to>
      <xdr:col>6</xdr:col>
      <xdr:colOff>561975</xdr:colOff>
      <xdr:row>5</xdr:row>
      <xdr:rowOff>19050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457451" y="0"/>
          <a:ext cx="1762124" cy="971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Cálculo automático, no lo modifiques</a:t>
          </a:r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7"/>
  <sheetViews>
    <sheetView showGridLines="0" tabSelected="1" zoomScale="55" zoomScaleNormal="55" workbookViewId="0">
      <selection activeCell="F23" sqref="F23"/>
    </sheetView>
  </sheetViews>
  <sheetFormatPr baseColWidth="10" defaultColWidth="9.140625" defaultRowHeight="15" x14ac:dyDescent="0.25"/>
  <cols>
    <col min="2" max="2" width="68.28515625" style="20" customWidth="1"/>
    <col min="3" max="17" width="5.28515625" customWidth="1"/>
    <col min="18" max="18" width="24.42578125" customWidth="1"/>
    <col min="19" max="21" width="10.7109375" customWidth="1"/>
  </cols>
  <sheetData>
    <row r="1" spans="1:27" ht="144.75" customHeight="1" x14ac:dyDescent="0.25">
      <c r="A1" s="24" t="s">
        <v>29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27" ht="21" x14ac:dyDescent="0.25">
      <c r="A2" s="25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</row>
    <row r="3" spans="1:27" ht="20.25" x14ac:dyDescent="0.25">
      <c r="A3" s="28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30"/>
    </row>
    <row r="4" spans="1:27" ht="20.25" x14ac:dyDescent="0.25">
      <c r="A4" s="1"/>
      <c r="B4" s="17"/>
      <c r="C4" s="1"/>
      <c r="D4" s="1"/>
      <c r="E4" s="1"/>
      <c r="F4" s="1"/>
      <c r="G4" s="1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27" ht="20.25" x14ac:dyDescent="0.25">
      <c r="A5" s="33" t="s">
        <v>2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27" ht="20.25" customHeight="1" x14ac:dyDescent="0.25">
      <c r="A6" s="34" t="s">
        <v>34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6"/>
    </row>
    <row r="7" spans="1:27" ht="20.25" customHeight="1" x14ac:dyDescent="0.25">
      <c r="A7" s="37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9"/>
    </row>
    <row r="8" spans="1:27" ht="15" customHeight="1" x14ac:dyDescent="0.25">
      <c r="A8" s="1"/>
      <c r="B8" s="17"/>
      <c r="C8" s="1"/>
      <c r="D8" s="1"/>
      <c r="E8" s="1"/>
      <c r="F8" s="1"/>
      <c r="G8" s="3"/>
    </row>
    <row r="9" spans="1:27" s="5" customFormat="1" ht="20.25" customHeight="1" x14ac:dyDescent="0.25">
      <c r="A9" s="6" t="s">
        <v>3</v>
      </c>
      <c r="B9" s="18" t="s">
        <v>4</v>
      </c>
      <c r="C9" s="6" t="s">
        <v>5</v>
      </c>
      <c r="D9" s="6" t="s">
        <v>6</v>
      </c>
      <c r="E9" s="6" t="s">
        <v>7</v>
      </c>
      <c r="F9" s="6" t="s">
        <v>8</v>
      </c>
      <c r="G9" s="6" t="s">
        <v>9</v>
      </c>
      <c r="H9" s="6" t="s">
        <v>10</v>
      </c>
      <c r="I9" s="6" t="s">
        <v>11</v>
      </c>
      <c r="J9" s="6" t="s">
        <v>17</v>
      </c>
      <c r="K9" s="6" t="s">
        <v>18</v>
      </c>
      <c r="L9" s="6" t="s">
        <v>19</v>
      </c>
      <c r="M9" s="6" t="s">
        <v>20</v>
      </c>
      <c r="N9" s="6" t="s">
        <v>21</v>
      </c>
      <c r="O9" s="6" t="s">
        <v>22</v>
      </c>
      <c r="P9" s="6" t="s">
        <v>27</v>
      </c>
      <c r="Q9" s="6" t="s">
        <v>28</v>
      </c>
      <c r="R9" s="6" t="s">
        <v>25</v>
      </c>
    </row>
    <row r="10" spans="1:27" ht="27.75" customHeight="1" x14ac:dyDescent="0.25">
      <c r="A10" s="2" t="s">
        <v>5</v>
      </c>
      <c r="B10" s="21" t="s">
        <v>35</v>
      </c>
      <c r="C10" s="22">
        <v>0</v>
      </c>
      <c r="D10" s="23">
        <v>2</v>
      </c>
      <c r="E10" s="23">
        <v>2</v>
      </c>
      <c r="F10" s="23">
        <v>3</v>
      </c>
      <c r="G10" s="23">
        <v>1</v>
      </c>
      <c r="H10" s="23"/>
      <c r="I10" s="23"/>
      <c r="J10" s="23"/>
      <c r="K10" s="23"/>
      <c r="L10" s="2"/>
      <c r="M10" s="2"/>
      <c r="N10" s="2"/>
      <c r="O10" s="2"/>
      <c r="P10" s="2"/>
      <c r="Q10" s="2"/>
      <c r="R10" s="8">
        <f>SUM(C10:Q10)</f>
        <v>8</v>
      </c>
    </row>
    <row r="11" spans="1:27" ht="27.75" customHeight="1" x14ac:dyDescent="0.25">
      <c r="A11" s="47" t="s">
        <v>6</v>
      </c>
      <c r="B11" s="21" t="s">
        <v>36</v>
      </c>
      <c r="C11" s="23">
        <v>1</v>
      </c>
      <c r="D11" s="22">
        <v>0</v>
      </c>
      <c r="E11" s="23">
        <v>1</v>
      </c>
      <c r="F11" s="23">
        <v>2</v>
      </c>
      <c r="G11" s="23">
        <v>3</v>
      </c>
      <c r="H11" s="23"/>
      <c r="I11" s="23"/>
      <c r="J11" s="23"/>
      <c r="K11" s="23"/>
      <c r="L11" s="2"/>
      <c r="M11" s="2"/>
      <c r="N11" s="2"/>
      <c r="O11" s="2"/>
      <c r="P11" s="2"/>
      <c r="Q11" s="2"/>
      <c r="R11" s="8">
        <f>SUM(C11:Q11)</f>
        <v>7</v>
      </c>
    </row>
    <row r="12" spans="1:27" ht="27.75" customHeight="1" x14ac:dyDescent="0.25">
      <c r="A12" s="2" t="s">
        <v>7</v>
      </c>
      <c r="B12" s="46" t="s">
        <v>37</v>
      </c>
      <c r="C12" s="23">
        <v>3</v>
      </c>
      <c r="D12" s="23">
        <v>2</v>
      </c>
      <c r="E12" s="22">
        <v>0</v>
      </c>
      <c r="F12" s="23">
        <v>3</v>
      </c>
      <c r="G12" s="23">
        <v>2</v>
      </c>
      <c r="H12" s="23"/>
      <c r="I12" s="23"/>
      <c r="J12" s="23"/>
      <c r="K12" s="23"/>
      <c r="L12" s="2"/>
      <c r="M12" s="2"/>
      <c r="N12" s="2"/>
      <c r="O12" s="2"/>
      <c r="P12" s="2"/>
      <c r="Q12" s="2"/>
      <c r="R12" s="8">
        <f>SUM(C12:Q12)</f>
        <v>10</v>
      </c>
    </row>
    <row r="13" spans="1:27" ht="27.75" customHeight="1" x14ac:dyDescent="0.25">
      <c r="A13" s="2" t="s">
        <v>8</v>
      </c>
      <c r="B13" s="21" t="s">
        <v>38</v>
      </c>
      <c r="C13" s="23">
        <v>2</v>
      </c>
      <c r="D13" s="23">
        <v>1</v>
      </c>
      <c r="E13" s="23">
        <v>2</v>
      </c>
      <c r="F13" s="22">
        <v>0</v>
      </c>
      <c r="G13" s="23">
        <v>2</v>
      </c>
      <c r="H13" s="23"/>
      <c r="I13" s="23"/>
      <c r="J13" s="23"/>
      <c r="K13" s="23"/>
      <c r="L13" s="2"/>
      <c r="M13" s="2"/>
      <c r="N13" s="2"/>
      <c r="O13" s="2"/>
      <c r="P13" s="2"/>
      <c r="Q13" s="2"/>
      <c r="R13" s="8">
        <f>SUM(C13:Q13)</f>
        <v>7</v>
      </c>
      <c r="U13" s="12" t="s">
        <v>33</v>
      </c>
      <c r="V13" s="12"/>
      <c r="W13" s="12"/>
      <c r="X13" s="12"/>
      <c r="Y13" s="12"/>
      <c r="Z13" s="12"/>
      <c r="AA13" s="12"/>
    </row>
    <row r="14" spans="1:27" ht="27.75" customHeight="1" x14ac:dyDescent="0.3">
      <c r="A14" s="2" t="s">
        <v>9</v>
      </c>
      <c r="B14" s="21" t="s">
        <v>39</v>
      </c>
      <c r="C14" s="23">
        <v>2</v>
      </c>
      <c r="D14" s="23">
        <v>3</v>
      </c>
      <c r="E14" s="23">
        <v>1</v>
      </c>
      <c r="F14" s="23">
        <v>3</v>
      </c>
      <c r="G14" s="22">
        <v>0</v>
      </c>
      <c r="H14" s="23"/>
      <c r="I14" s="23"/>
      <c r="J14" s="23"/>
      <c r="K14" s="23"/>
      <c r="L14" s="2"/>
      <c r="M14" s="2"/>
      <c r="N14" s="2"/>
      <c r="O14" s="2"/>
      <c r="P14" s="2"/>
      <c r="Q14" s="2"/>
      <c r="R14" s="8">
        <f t="shared" ref="R14:R24" si="0">SUM(C14:Q14)</f>
        <v>9</v>
      </c>
      <c r="U14" s="13" t="s">
        <v>30</v>
      </c>
      <c r="V14" s="13"/>
      <c r="W14" s="13"/>
      <c r="X14" s="13"/>
      <c r="Y14" s="13"/>
      <c r="Z14" s="13"/>
      <c r="AA14" s="13"/>
    </row>
    <row r="15" spans="1:27" ht="27.75" customHeight="1" x14ac:dyDescent="0.3">
      <c r="A15" s="2" t="s">
        <v>10</v>
      </c>
      <c r="B15" s="16"/>
      <c r="C15" s="14"/>
      <c r="D15" s="14"/>
      <c r="E15" s="14"/>
      <c r="F15" s="14"/>
      <c r="G15" s="14"/>
      <c r="H15" s="15">
        <v>0</v>
      </c>
      <c r="I15" s="14"/>
      <c r="J15" s="14"/>
      <c r="K15" s="2"/>
      <c r="L15" s="2"/>
      <c r="M15" s="2"/>
      <c r="N15" s="2"/>
      <c r="O15" s="2"/>
      <c r="P15" s="2"/>
      <c r="Q15" s="2"/>
      <c r="R15" s="8">
        <f t="shared" si="0"/>
        <v>0</v>
      </c>
      <c r="U15" s="13" t="s">
        <v>31</v>
      </c>
      <c r="V15" s="13"/>
      <c r="W15" s="13"/>
      <c r="X15" s="13"/>
      <c r="Y15" s="13"/>
      <c r="Z15" s="13"/>
      <c r="AA15" s="13"/>
    </row>
    <row r="16" spans="1:27" ht="27.75" customHeight="1" x14ac:dyDescent="0.3">
      <c r="A16" s="2" t="s">
        <v>11</v>
      </c>
      <c r="B16" s="16"/>
      <c r="C16" s="14"/>
      <c r="D16" s="14"/>
      <c r="E16" s="14"/>
      <c r="F16" s="14"/>
      <c r="G16" s="14"/>
      <c r="H16" s="14"/>
      <c r="I16" s="15">
        <v>0</v>
      </c>
      <c r="J16" s="14"/>
      <c r="K16" s="2"/>
      <c r="L16" s="2"/>
      <c r="M16" s="2"/>
      <c r="N16" s="2"/>
      <c r="O16" s="2"/>
      <c r="P16" s="2"/>
      <c r="Q16" s="2"/>
      <c r="R16" s="8">
        <f t="shared" si="0"/>
        <v>0</v>
      </c>
      <c r="U16" s="13" t="s">
        <v>32</v>
      </c>
      <c r="V16" s="13"/>
      <c r="W16" s="13"/>
      <c r="X16" s="13"/>
      <c r="Y16" s="13"/>
      <c r="Z16" s="13"/>
      <c r="AA16" s="13"/>
    </row>
    <row r="17" spans="1:18" ht="27.75" customHeight="1" x14ac:dyDescent="0.25">
      <c r="A17" s="2" t="s">
        <v>17</v>
      </c>
      <c r="B17" s="16"/>
      <c r="C17" s="14"/>
      <c r="D17" s="14"/>
      <c r="E17" s="14"/>
      <c r="F17" s="14"/>
      <c r="G17" s="14"/>
      <c r="H17" s="14"/>
      <c r="I17" s="14"/>
      <c r="J17" s="15">
        <v>0</v>
      </c>
      <c r="K17" s="2"/>
      <c r="L17" s="2"/>
      <c r="M17" s="2"/>
      <c r="N17" s="2"/>
      <c r="O17" s="2"/>
      <c r="P17" s="2"/>
      <c r="Q17" s="2"/>
      <c r="R17" s="8">
        <f t="shared" si="0"/>
        <v>0</v>
      </c>
    </row>
    <row r="18" spans="1:18" ht="27.75" customHeight="1" x14ac:dyDescent="0.25">
      <c r="A18" s="2" t="s">
        <v>18</v>
      </c>
      <c r="B18" s="19"/>
      <c r="C18" s="2"/>
      <c r="D18" s="2"/>
      <c r="E18" s="2"/>
      <c r="F18" s="2"/>
      <c r="G18" s="2"/>
      <c r="H18" s="2"/>
      <c r="I18" s="2"/>
      <c r="J18" s="2"/>
      <c r="K18" s="15">
        <v>0</v>
      </c>
      <c r="L18" s="2"/>
      <c r="M18" s="2"/>
      <c r="N18" s="2"/>
      <c r="O18" s="2"/>
      <c r="P18" s="2"/>
      <c r="Q18" s="2"/>
      <c r="R18" s="8">
        <f t="shared" si="0"/>
        <v>0</v>
      </c>
    </row>
    <row r="19" spans="1:18" ht="27.75" customHeight="1" x14ac:dyDescent="0.25">
      <c r="A19" s="2" t="s">
        <v>19</v>
      </c>
      <c r="B19" s="19"/>
      <c r="C19" s="2"/>
      <c r="D19" s="2"/>
      <c r="E19" s="2"/>
      <c r="F19" s="2"/>
      <c r="G19" s="2"/>
      <c r="H19" s="2"/>
      <c r="I19" s="2"/>
      <c r="J19" s="2"/>
      <c r="K19" s="2"/>
      <c r="L19" s="8">
        <v>0</v>
      </c>
      <c r="M19" s="2"/>
      <c r="N19" s="2"/>
      <c r="O19" s="2"/>
      <c r="P19" s="2"/>
      <c r="Q19" s="2"/>
      <c r="R19" s="8">
        <f t="shared" si="0"/>
        <v>0</v>
      </c>
    </row>
    <row r="20" spans="1:18" ht="27.75" customHeight="1" x14ac:dyDescent="0.25">
      <c r="A20" s="2"/>
      <c r="B20" s="19"/>
      <c r="C20" s="2"/>
      <c r="D20" s="2"/>
      <c r="E20" s="2"/>
      <c r="F20" s="2"/>
      <c r="G20" s="2"/>
      <c r="H20" s="2"/>
      <c r="I20" s="2"/>
      <c r="J20" s="2"/>
      <c r="K20" s="2"/>
      <c r="L20" s="2"/>
      <c r="M20" s="8">
        <v>0</v>
      </c>
      <c r="N20" s="2"/>
      <c r="O20" s="2"/>
      <c r="P20" s="2"/>
      <c r="Q20" s="2"/>
      <c r="R20" s="8">
        <f t="shared" si="0"/>
        <v>0</v>
      </c>
    </row>
    <row r="21" spans="1:18" ht="27.75" customHeight="1" x14ac:dyDescent="0.25">
      <c r="A21" s="2"/>
      <c r="B21" s="1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8">
        <v>0</v>
      </c>
      <c r="O21" s="2"/>
      <c r="P21" s="2"/>
      <c r="Q21" s="2"/>
      <c r="R21" s="8">
        <f t="shared" si="0"/>
        <v>0</v>
      </c>
    </row>
    <row r="22" spans="1:18" ht="27.75" customHeight="1" x14ac:dyDescent="0.25">
      <c r="A22" s="2"/>
      <c r="B22" s="1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8">
        <v>0</v>
      </c>
      <c r="P22" s="2"/>
      <c r="Q22" s="2"/>
      <c r="R22" s="8">
        <f t="shared" si="0"/>
        <v>0</v>
      </c>
    </row>
    <row r="23" spans="1:18" ht="27.75" customHeight="1" x14ac:dyDescent="0.25">
      <c r="A23" s="2"/>
      <c r="B23" s="1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8">
        <v>0</v>
      </c>
      <c r="Q23" s="2"/>
      <c r="R23" s="8">
        <f t="shared" si="0"/>
        <v>0</v>
      </c>
    </row>
    <row r="24" spans="1:18" ht="27.75" customHeight="1" x14ac:dyDescent="0.25">
      <c r="A24" s="2"/>
      <c r="B24" s="1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8">
        <v>0</v>
      </c>
      <c r="R24" s="8">
        <f t="shared" si="0"/>
        <v>0</v>
      </c>
    </row>
    <row r="25" spans="1:18" x14ac:dyDescent="0.25">
      <c r="A25" s="40" t="s">
        <v>26</v>
      </c>
      <c r="B25" s="41"/>
      <c r="C25" s="8">
        <f>SUM(C10:C24)</f>
        <v>8</v>
      </c>
      <c r="D25" s="8">
        <f t="shared" ref="D25:Q25" si="1">SUM(D10:D24)</f>
        <v>8</v>
      </c>
      <c r="E25" s="8">
        <f t="shared" si="1"/>
        <v>6</v>
      </c>
      <c r="F25" s="8">
        <f t="shared" si="1"/>
        <v>11</v>
      </c>
      <c r="G25" s="8">
        <f t="shared" si="1"/>
        <v>8</v>
      </c>
      <c r="H25" s="8">
        <f t="shared" si="1"/>
        <v>0</v>
      </c>
      <c r="I25" s="8">
        <f t="shared" si="1"/>
        <v>0</v>
      </c>
      <c r="J25" s="8">
        <f t="shared" si="1"/>
        <v>0</v>
      </c>
      <c r="K25" s="8">
        <f t="shared" si="1"/>
        <v>0</v>
      </c>
      <c r="L25" s="8">
        <f t="shared" si="1"/>
        <v>0</v>
      </c>
      <c r="M25" s="8">
        <f t="shared" si="1"/>
        <v>0</v>
      </c>
      <c r="N25" s="8">
        <f t="shared" si="1"/>
        <v>0</v>
      </c>
      <c r="O25" s="8">
        <f t="shared" si="1"/>
        <v>0</v>
      </c>
      <c r="P25" s="8">
        <f t="shared" si="1"/>
        <v>0</v>
      </c>
      <c r="Q25" s="8">
        <f t="shared" si="1"/>
        <v>0</v>
      </c>
      <c r="R25" s="8"/>
    </row>
    <row r="27" spans="1:18" ht="20.25" customHeight="1" x14ac:dyDescent="0.25">
      <c r="A27" s="33" t="s">
        <v>12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</row>
    <row r="52" spans="1:18" x14ac:dyDescent="0.25">
      <c r="A52" s="10"/>
    </row>
    <row r="54" spans="1:18" x14ac:dyDescent="0.25">
      <c r="A54" s="11" t="s">
        <v>23</v>
      </c>
    </row>
    <row r="55" spans="1:18" ht="15" customHeight="1" x14ac:dyDescent="0.25">
      <c r="A55" s="32" t="s">
        <v>24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</row>
    <row r="56" spans="1:18" x14ac:dyDescent="0.2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</row>
    <row r="57" spans="1:18" x14ac:dyDescent="0.25">
      <c r="A57" s="31"/>
      <c r="B57" s="31"/>
    </row>
  </sheetData>
  <mergeCells count="9">
    <mergeCell ref="A1:R1"/>
    <mergeCell ref="A2:R2"/>
    <mergeCell ref="A3:R3"/>
    <mergeCell ref="A57:B57"/>
    <mergeCell ref="A55:R56"/>
    <mergeCell ref="A5:R5"/>
    <mergeCell ref="A6:R7"/>
    <mergeCell ref="A27:R27"/>
    <mergeCell ref="A25:B25"/>
  </mergeCells>
  <phoneticPr fontId="12" type="noConversion"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showGridLines="0" workbookViewId="0">
      <selection activeCell="D2" sqref="D2"/>
    </sheetView>
  </sheetViews>
  <sheetFormatPr baseColWidth="10" defaultColWidth="9.140625" defaultRowHeight="15" x14ac:dyDescent="0.25"/>
  <sheetData>
    <row r="1" spans="1:6" ht="15" customHeight="1" x14ac:dyDescent="0.25">
      <c r="C1" s="6" t="s">
        <v>13</v>
      </c>
      <c r="D1" s="6" t="s">
        <v>14</v>
      </c>
      <c r="F1" s="7"/>
    </row>
    <row r="2" spans="1:6" ht="15" customHeight="1" x14ac:dyDescent="0.25">
      <c r="A2" s="42" t="s">
        <v>15</v>
      </c>
      <c r="B2" s="43"/>
      <c r="C2" s="9">
        <v>0</v>
      </c>
      <c r="D2" s="9">
        <f>MAX(Dependencia)/2</f>
        <v>5.5</v>
      </c>
      <c r="E2" s="7"/>
      <c r="F2" s="7"/>
    </row>
    <row r="3" spans="1:6" x14ac:dyDescent="0.25">
      <c r="A3" s="44"/>
      <c r="B3" s="45"/>
      <c r="C3" s="9">
        <f>MAX(Influencia)</f>
        <v>10</v>
      </c>
      <c r="D3" s="9">
        <f>MAX(Dependencia)/2</f>
        <v>5.5</v>
      </c>
    </row>
    <row r="4" spans="1:6" ht="15" customHeight="1" x14ac:dyDescent="0.25">
      <c r="A4" s="42" t="s">
        <v>16</v>
      </c>
      <c r="B4" s="43"/>
      <c r="C4" s="9">
        <f>MAX(Influencia)/2</f>
        <v>5</v>
      </c>
      <c r="D4" s="9">
        <v>0</v>
      </c>
    </row>
    <row r="5" spans="1:6" x14ac:dyDescent="0.25">
      <c r="A5" s="44"/>
      <c r="B5" s="45"/>
      <c r="C5" s="9">
        <f>MAX(Influencia)/2</f>
        <v>5</v>
      </c>
      <c r="D5" s="9">
        <f>MAX(Dependencia)</f>
        <v>11</v>
      </c>
    </row>
  </sheetData>
  <mergeCells count="2">
    <mergeCell ref="A4:B5"/>
    <mergeCell ref="A2:B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Matriz y gráfico</vt:lpstr>
      <vt:lpstr>Parámetros</vt:lpstr>
      <vt:lpstr>Dependencia</vt:lpstr>
      <vt:lpstr>Influencia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Felipe Saldarriaga Bejarano</dc:creator>
  <cp:keywords/>
  <dc:description/>
  <cp:lastModifiedBy>NATHIIK SANCHEZ TOVAR</cp:lastModifiedBy>
  <cp:revision/>
  <dcterms:created xsi:type="dcterms:W3CDTF">2011-08-11T16:16:29Z</dcterms:created>
  <dcterms:modified xsi:type="dcterms:W3CDTF">2025-11-10T18:51:27Z</dcterms:modified>
  <cp:category/>
  <cp:contentStatus/>
</cp:coreProperties>
</file>